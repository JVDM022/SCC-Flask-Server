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johnjin/Documents/work/"/>
    </mc:Choice>
  </mc:AlternateContent>
  <xr:revisionPtr revIDLastSave="0" documentId="13_ncr:1_{7831C92E-D01F-4A46-A1D9-2B6C1664CBB8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 1 - DK_PRODUCTS_9817256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" i="1" l="1"/>
</calcChain>
</file>

<file path=xl/sharedStrings.xml><?xml version="1.0" encoding="utf-8"?>
<sst xmlns="http://schemas.openxmlformats.org/spreadsheetml/2006/main" count="75" uniqueCount="71">
  <si>
    <t>Index</t>
  </si>
  <si>
    <t>DigiKey Part #</t>
  </si>
  <si>
    <t>Manufacturer Part Number</t>
  </si>
  <si>
    <t>Manufacturer</t>
  </si>
  <si>
    <t>Description</t>
  </si>
  <si>
    <t>Customer Reference</t>
  </si>
  <si>
    <t>Quantity</t>
  </si>
  <si>
    <t>Backorder</t>
  </si>
  <si>
    <t>Unit Price</t>
  </si>
  <si>
    <t>Extended Price</t>
  </si>
  <si>
    <t>13-TR0603KR-0710KLCT-ND</t>
  </si>
  <si>
    <t>TR0603KR-0710KL</t>
  </si>
  <si>
    <t>YAGEO</t>
  </si>
  <si>
    <t>RES 10K OHM 0% 10% 1/10W 0603</t>
  </si>
  <si>
    <t>A113320-ND</t>
  </si>
  <si>
    <t>282837-2</t>
  </si>
  <si>
    <t>TE Connectivity AMP Connectors</t>
  </si>
  <si>
    <t>TERM BLK 2P SIDE ENT 5.08MM PCB</t>
  </si>
  <si>
    <t>S7013-ND</t>
  </si>
  <si>
    <t>PPTC151LFBN-RC</t>
  </si>
  <si>
    <t>Sullins Connector Solutions</t>
  </si>
  <si>
    <t>CONN HDR 15POS 0.1 TIN PCB</t>
  </si>
  <si>
    <t>587-3246-1-ND</t>
  </si>
  <si>
    <t>TMK316BBJ226ML-T</t>
  </si>
  <si>
    <t>Taiyo Yuden</t>
  </si>
  <si>
    <t>CAP CER 22UF 25V X5R 1206</t>
  </si>
  <si>
    <t>490-10672-1-ND</t>
  </si>
  <si>
    <t>GCM155R71H104KE02D</t>
  </si>
  <si>
    <t>Murata Electronics</t>
  </si>
  <si>
    <t>CAP CER 0.1UF 50V X7R 0402</t>
  </si>
  <si>
    <t>1276-2605-1-ND</t>
  </si>
  <si>
    <t>CL21C220JB61PNC</t>
  </si>
  <si>
    <t>Samsung Electro-Mechanics</t>
  </si>
  <si>
    <t>CAP CER 22PF 50V C0G/NP0 0805</t>
  </si>
  <si>
    <t>475-LDMVSG-JGLH-46-1CT-ND</t>
  </si>
  <si>
    <t>LD MVSG-JGLH-46-1-20-R18-Z</t>
  </si>
  <si>
    <t>ams-OSRAM USA INC.</t>
  </si>
  <si>
    <t>LED MINI TOPLED BLUE 459NM SMD</t>
  </si>
  <si>
    <t>SRN8040-6R8YCT-ND</t>
  </si>
  <si>
    <t>SRN8040-6R8Y</t>
  </si>
  <si>
    <t>Bourns Inc.</t>
  </si>
  <si>
    <t>FIXED IND 6.8UH 3.9A 33 MOHM SMD</t>
  </si>
  <si>
    <t>118-CMP0603-FX-1004ELFCT-ND</t>
  </si>
  <si>
    <t>CMP0603-FX-1004ELF</t>
  </si>
  <si>
    <t>RESHIGHPOWER 0603 1M 1% 1/4W TC1</t>
  </si>
  <si>
    <t>118-CMP0805-FX-1003ELFCT-ND</t>
  </si>
  <si>
    <t>CMP0805-FX-1003ELF</t>
  </si>
  <si>
    <t>RESHIGHPOWER 0805 100K 1% 1/2W T</t>
  </si>
  <si>
    <t>RMCF0603FT1K00CT-ND</t>
  </si>
  <si>
    <t>RMCF0603FT1K00</t>
  </si>
  <si>
    <t>Stackpole Electronics Inc</t>
  </si>
  <si>
    <t>RES 1K OHM 1% 1/10W 0603</t>
  </si>
  <si>
    <t>CR0603-FX-9092ELFCT-ND</t>
  </si>
  <si>
    <t>CR0603-FX-9092ELF</t>
  </si>
  <si>
    <t>RES SMD 90.9K OHM 1% 1/10W 0603</t>
  </si>
  <si>
    <t>FDS8896CT-ND</t>
  </si>
  <si>
    <t>FDS8896</t>
  </si>
  <si>
    <t>onsemi</t>
  </si>
  <si>
    <t>MOSFET N-CH 30V 15A 8SOIC</t>
  </si>
  <si>
    <t>BSS138CT-ND</t>
  </si>
  <si>
    <t>BSS138</t>
  </si>
  <si>
    <t>MOSFET N-CH 50V 220MA SOT23-3</t>
  </si>
  <si>
    <t>1589-MP2338GTL-ZCT-ND</t>
  </si>
  <si>
    <t>MP2338GTL-Z</t>
  </si>
  <si>
    <t>Monolithic Power Systems Inc.</t>
  </si>
  <si>
    <t>IC REG BUCK ADJ 3A SOT583</t>
  </si>
  <si>
    <t>WM50014-36-ND</t>
  </si>
  <si>
    <t>Molex</t>
  </si>
  <si>
    <t>CONN HEADER VERT 36POS 2.54MM</t>
  </si>
  <si>
    <t>Sub Total</t>
  </si>
  <si>
    <t>PCB BOM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</si>
</sst>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4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2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medium">
        <color indexed="64"/>
      </right>
      <top style="thin">
        <color indexed="10"/>
      </top>
      <bottom style="thin">
        <color indexed="11"/>
      </bottom>
      <diagonal/>
    </border>
    <border>
      <left style="medium">
        <color indexed="64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medium">
        <color indexed="64"/>
      </right>
      <top style="thin">
        <color indexed="11"/>
      </top>
      <bottom style="thin">
        <color indexed="10"/>
      </bottom>
      <diagonal/>
    </border>
    <border>
      <left style="medium">
        <color indexed="64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medium">
        <color indexed="64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medium">
        <color indexed="64"/>
      </right>
      <top style="thin">
        <color indexed="10"/>
      </top>
      <bottom/>
      <diagonal/>
    </border>
    <border>
      <left style="medium">
        <color indexed="64"/>
      </left>
      <right/>
      <top style="thin">
        <color indexed="1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6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0" fillId="0" borderId="2" xfId="0" applyNumberFormat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3" xfId="0" applyNumberFormat="1" applyBorder="1" applyAlignment="1">
      <alignment vertical="top"/>
    </xf>
    <xf numFmtId="164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0" fillId="0" borderId="5" xfId="0" applyNumberFormat="1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5" xfId="0" applyNumberFormat="1" applyBorder="1" applyAlignment="1">
      <alignment vertical="top"/>
    </xf>
    <xf numFmtId="164" fontId="0" fillId="0" borderId="5" xfId="0" applyNumberFormat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horizontal="left"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7" xfId="0" applyNumberFormat="1" applyBorder="1" applyAlignment="1">
      <alignment vertical="top"/>
    </xf>
    <xf numFmtId="164" fontId="0" fillId="0" borderId="7" xfId="0" applyNumberFormat="1" applyBorder="1" applyAlignment="1">
      <alignment vertical="top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49" fontId="2" fillId="2" borderId="11" xfId="0" applyNumberFormat="1" applyFont="1" applyFill="1" applyBorder="1" applyAlignment="1">
      <alignment vertical="top"/>
    </xf>
    <xf numFmtId="49" fontId="2" fillId="2" borderId="12" xfId="0" applyNumberFormat="1" applyFont="1" applyFill="1" applyBorder="1" applyAlignment="1">
      <alignment vertical="top"/>
    </xf>
    <xf numFmtId="0" fontId="2" fillId="3" borderId="13" xfId="0" applyNumberFormat="1" applyFont="1" applyFill="1" applyBorder="1" applyAlignment="1">
      <alignment vertical="top"/>
    </xf>
    <xf numFmtId="164" fontId="0" fillId="0" borderId="14" xfId="0" applyNumberFormat="1" applyBorder="1" applyAlignment="1">
      <alignment vertical="top"/>
    </xf>
    <xf numFmtId="0" fontId="2" fillId="3" borderId="15" xfId="0" applyNumberFormat="1" applyFont="1" applyFill="1" applyBorder="1" applyAlignment="1">
      <alignment vertical="top"/>
    </xf>
    <xf numFmtId="164" fontId="0" fillId="0" borderId="16" xfId="0" applyNumberFormat="1" applyBorder="1" applyAlignment="1">
      <alignment vertical="top"/>
    </xf>
    <xf numFmtId="0" fontId="2" fillId="3" borderId="15" xfId="0" applyFont="1" applyFill="1" applyBorder="1" applyAlignment="1">
      <alignment vertical="top"/>
    </xf>
    <xf numFmtId="164" fontId="0" fillId="0" borderId="17" xfId="0" applyNumberFormat="1" applyBorder="1" applyAlignment="1">
      <alignment vertical="top"/>
    </xf>
    <xf numFmtId="0" fontId="2" fillId="3" borderId="18" xfId="0" applyFont="1" applyFill="1" applyBorder="1" applyAlignment="1">
      <alignment vertical="top"/>
    </xf>
    <xf numFmtId="0" fontId="0" fillId="0" borderId="19" xfId="0" applyNumberFormat="1" applyBorder="1" applyAlignment="1">
      <alignment vertical="top"/>
    </xf>
    <xf numFmtId="0" fontId="0" fillId="0" borderId="20" xfId="0" applyNumberFormat="1" applyBorder="1" applyAlignment="1">
      <alignment vertical="top"/>
    </xf>
    <xf numFmtId="0" fontId="0" fillId="0" borderId="21" xfId="0" applyNumberFormat="1" applyBorder="1" applyAlignment="1">
      <alignment vertical="top"/>
    </xf>
    <xf numFmtId="0" fontId="3" fillId="0" borderId="22" xfId="0" applyNumberFormat="1" applyFont="1" applyBorder="1" applyAlignment="1">
      <alignment vertical="top"/>
    </xf>
    <xf numFmtId="164" fontId="0" fillId="0" borderId="23" xfId="0" applyNumberForma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20"/>
  <sheetViews>
    <sheetView showGridLines="0" tabSelected="1" workbookViewId="0">
      <selection activeCell="D31" sqref="D31"/>
    </sheetView>
  </sheetViews>
  <sheetFormatPr baseColWidth="10" defaultColWidth="8.33203125" defaultRowHeight="20" customHeight="1" x14ac:dyDescent="0.15"/>
  <cols>
    <col min="1" max="1" width="8.33203125" style="1"/>
    <col min="2" max="2" width="5.83203125" style="1" customWidth="1"/>
    <col min="3" max="3" width="28.5" style="1" bestFit="1" customWidth="1"/>
    <col min="4" max="4" width="26.6640625" style="1" bestFit="1" customWidth="1"/>
    <col min="5" max="5" width="26.33203125" style="1" customWidth="1"/>
    <col min="6" max="6" width="34" style="1" bestFit="1" customWidth="1"/>
    <col min="7" max="7" width="18" style="1" customWidth="1"/>
    <col min="8" max="8" width="8.1640625" style="1" customWidth="1"/>
    <col min="9" max="9" width="9.83203125" style="1" customWidth="1"/>
    <col min="10" max="10" width="9.33203125" style="1" customWidth="1"/>
    <col min="11" max="11" width="13.5" style="1" customWidth="1"/>
    <col min="12" max="12" width="8.33203125" style="1" customWidth="1"/>
    <col min="13" max="16384" width="8.33203125" style="1"/>
  </cols>
  <sheetData>
    <row r="1" spans="2:11" ht="20" customHeight="1" thickBot="1" x14ac:dyDescent="0.2"/>
    <row r="2" spans="2:11" ht="27.75" customHeight="1" x14ac:dyDescent="0.15">
      <c r="B2" s="19" t="s">
        <v>70</v>
      </c>
      <c r="C2" s="20"/>
      <c r="D2" s="20"/>
      <c r="E2" s="20"/>
      <c r="F2" s="20"/>
      <c r="G2" s="20"/>
      <c r="H2" s="20"/>
      <c r="I2" s="20"/>
      <c r="J2" s="20"/>
      <c r="K2" s="21"/>
    </row>
    <row r="3" spans="2:11" ht="20.25" customHeight="1" x14ac:dyDescent="0.15">
      <c r="B3" s="2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3" t="s">
        <v>9</v>
      </c>
    </row>
    <row r="4" spans="2:11" ht="20.25" customHeight="1" x14ac:dyDescent="0.15">
      <c r="B4" s="24">
        <v>1</v>
      </c>
      <c r="C4" s="3" t="s">
        <v>10</v>
      </c>
      <c r="D4" s="4" t="s">
        <v>11</v>
      </c>
      <c r="E4" s="4" t="s">
        <v>12</v>
      </c>
      <c r="F4" s="4" t="s">
        <v>13</v>
      </c>
      <c r="G4" s="5"/>
      <c r="H4" s="6">
        <v>25</v>
      </c>
      <c r="I4" s="6">
        <v>0</v>
      </c>
      <c r="J4" s="7">
        <v>7.0000000000000007E-2</v>
      </c>
      <c r="K4" s="25">
        <v>1.63</v>
      </c>
    </row>
    <row r="5" spans="2:11" ht="20" customHeight="1" x14ac:dyDescent="0.15">
      <c r="B5" s="26">
        <v>2</v>
      </c>
      <c r="C5" s="8" t="s">
        <v>14</v>
      </c>
      <c r="D5" s="9" t="s">
        <v>15</v>
      </c>
      <c r="E5" s="9" t="s">
        <v>16</v>
      </c>
      <c r="F5" s="9" t="s">
        <v>17</v>
      </c>
      <c r="G5" s="10"/>
      <c r="H5" s="11">
        <v>5</v>
      </c>
      <c r="I5" s="11">
        <v>0</v>
      </c>
      <c r="J5" s="12">
        <v>0.87</v>
      </c>
      <c r="K5" s="27">
        <v>4.3499999999999996</v>
      </c>
    </row>
    <row r="6" spans="2:11" ht="20" customHeight="1" x14ac:dyDescent="0.15">
      <c r="B6" s="26">
        <v>3</v>
      </c>
      <c r="C6" s="8" t="s">
        <v>18</v>
      </c>
      <c r="D6" s="9" t="s">
        <v>19</v>
      </c>
      <c r="E6" s="9" t="s">
        <v>20</v>
      </c>
      <c r="F6" s="9" t="s">
        <v>21</v>
      </c>
      <c r="G6" s="10"/>
      <c r="H6" s="11">
        <v>2</v>
      </c>
      <c r="I6" s="11">
        <v>0</v>
      </c>
      <c r="J6" s="12">
        <v>0.82</v>
      </c>
      <c r="K6" s="27">
        <v>1.64</v>
      </c>
    </row>
    <row r="7" spans="2:11" ht="20" customHeight="1" x14ac:dyDescent="0.15">
      <c r="B7" s="26">
        <v>4</v>
      </c>
      <c r="C7" s="8" t="s">
        <v>22</v>
      </c>
      <c r="D7" s="9" t="s">
        <v>23</v>
      </c>
      <c r="E7" s="9" t="s">
        <v>24</v>
      </c>
      <c r="F7" s="9" t="s">
        <v>25</v>
      </c>
      <c r="G7" s="10"/>
      <c r="H7" s="11">
        <v>20</v>
      </c>
      <c r="I7" s="11">
        <v>0</v>
      </c>
      <c r="J7" s="12">
        <v>0.09</v>
      </c>
      <c r="K7" s="27">
        <v>1.8</v>
      </c>
    </row>
    <row r="8" spans="2:11" ht="20" customHeight="1" x14ac:dyDescent="0.15">
      <c r="B8" s="26">
        <v>5</v>
      </c>
      <c r="C8" s="8" t="s">
        <v>26</v>
      </c>
      <c r="D8" s="9" t="s">
        <v>27</v>
      </c>
      <c r="E8" s="9" t="s">
        <v>28</v>
      </c>
      <c r="F8" s="9" t="s">
        <v>29</v>
      </c>
      <c r="G8" s="10"/>
      <c r="H8" s="11">
        <v>10</v>
      </c>
      <c r="I8" s="11">
        <v>0</v>
      </c>
      <c r="J8" s="12">
        <v>0.03</v>
      </c>
      <c r="K8" s="27">
        <v>0.32</v>
      </c>
    </row>
    <row r="9" spans="2:11" ht="20" customHeight="1" x14ac:dyDescent="0.15">
      <c r="B9" s="26">
        <v>6</v>
      </c>
      <c r="C9" s="8" t="s">
        <v>30</v>
      </c>
      <c r="D9" s="9" t="s">
        <v>31</v>
      </c>
      <c r="E9" s="9" t="s">
        <v>32</v>
      </c>
      <c r="F9" s="9" t="s">
        <v>33</v>
      </c>
      <c r="G9" s="10"/>
      <c r="H9" s="11">
        <v>10</v>
      </c>
      <c r="I9" s="11">
        <v>0</v>
      </c>
      <c r="J9" s="12">
        <v>0.08</v>
      </c>
      <c r="K9" s="27">
        <v>0.78</v>
      </c>
    </row>
    <row r="10" spans="2:11" ht="20" customHeight="1" x14ac:dyDescent="0.15">
      <c r="B10" s="26">
        <v>7</v>
      </c>
      <c r="C10" s="8" t="s">
        <v>34</v>
      </c>
      <c r="D10" s="9" t="s">
        <v>35</v>
      </c>
      <c r="E10" s="9" t="s">
        <v>36</v>
      </c>
      <c r="F10" s="9" t="s">
        <v>37</v>
      </c>
      <c r="G10" s="10"/>
      <c r="H10" s="11">
        <v>2</v>
      </c>
      <c r="I10" s="11">
        <v>0</v>
      </c>
      <c r="J10" s="12">
        <v>0.56999999999999995</v>
      </c>
      <c r="K10" s="27">
        <v>1.1399999999999999</v>
      </c>
    </row>
    <row r="11" spans="2:11" ht="20" customHeight="1" x14ac:dyDescent="0.15">
      <c r="B11" s="26">
        <v>8</v>
      </c>
      <c r="C11" s="8" t="s">
        <v>38</v>
      </c>
      <c r="D11" s="9" t="s">
        <v>39</v>
      </c>
      <c r="E11" s="9" t="s">
        <v>40</v>
      </c>
      <c r="F11" s="9" t="s">
        <v>41</v>
      </c>
      <c r="G11" s="10"/>
      <c r="H11" s="11">
        <v>2</v>
      </c>
      <c r="I11" s="11">
        <v>0</v>
      </c>
      <c r="J11" s="12">
        <v>0.53</v>
      </c>
      <c r="K11" s="27">
        <v>1.06</v>
      </c>
    </row>
    <row r="12" spans="2:11" ht="20" customHeight="1" x14ac:dyDescent="0.15">
      <c r="B12" s="26">
        <v>9</v>
      </c>
      <c r="C12" s="8" t="s">
        <v>42</v>
      </c>
      <c r="D12" s="9" t="s">
        <v>43</v>
      </c>
      <c r="E12" s="9" t="s">
        <v>40</v>
      </c>
      <c r="F12" s="9" t="s">
        <v>44</v>
      </c>
      <c r="G12" s="10"/>
      <c r="H12" s="11">
        <v>4</v>
      </c>
      <c r="I12" s="11">
        <v>0</v>
      </c>
      <c r="J12" s="12">
        <v>0.16</v>
      </c>
      <c r="K12" s="27">
        <v>0.64</v>
      </c>
    </row>
    <row r="13" spans="2:11" ht="20" customHeight="1" x14ac:dyDescent="0.15">
      <c r="B13" s="26">
        <v>10</v>
      </c>
      <c r="C13" s="8" t="s">
        <v>45</v>
      </c>
      <c r="D13" s="9" t="s">
        <v>46</v>
      </c>
      <c r="E13" s="9" t="s">
        <v>40</v>
      </c>
      <c r="F13" s="9" t="s">
        <v>47</v>
      </c>
      <c r="G13" s="10"/>
      <c r="H13" s="11">
        <v>4</v>
      </c>
      <c r="I13" s="11">
        <v>0</v>
      </c>
      <c r="J13" s="12">
        <v>0.18</v>
      </c>
      <c r="K13" s="27">
        <v>0.72</v>
      </c>
    </row>
    <row r="14" spans="2:11" ht="20" customHeight="1" x14ac:dyDescent="0.15">
      <c r="B14" s="26">
        <v>11</v>
      </c>
      <c r="C14" s="8" t="s">
        <v>48</v>
      </c>
      <c r="D14" s="9" t="s">
        <v>49</v>
      </c>
      <c r="E14" s="9" t="s">
        <v>50</v>
      </c>
      <c r="F14" s="9" t="s">
        <v>51</v>
      </c>
      <c r="G14" s="10"/>
      <c r="H14" s="11">
        <v>10</v>
      </c>
      <c r="I14" s="11">
        <v>0</v>
      </c>
      <c r="J14" s="12">
        <v>0.01</v>
      </c>
      <c r="K14" s="27">
        <v>0.06</v>
      </c>
    </row>
    <row r="15" spans="2:11" ht="20" customHeight="1" x14ac:dyDescent="0.15">
      <c r="B15" s="26">
        <v>12</v>
      </c>
      <c r="C15" s="8" t="s">
        <v>52</v>
      </c>
      <c r="D15" s="9" t="s">
        <v>53</v>
      </c>
      <c r="E15" s="9" t="s">
        <v>40</v>
      </c>
      <c r="F15" s="9" t="s">
        <v>54</v>
      </c>
      <c r="G15" s="10"/>
      <c r="H15" s="11">
        <v>10</v>
      </c>
      <c r="I15" s="11">
        <v>0</v>
      </c>
      <c r="J15" s="12">
        <v>0.02</v>
      </c>
      <c r="K15" s="27">
        <v>0.2</v>
      </c>
    </row>
    <row r="16" spans="2:11" ht="20" customHeight="1" x14ac:dyDescent="0.15">
      <c r="B16" s="26">
        <v>13</v>
      </c>
      <c r="C16" s="8" t="s">
        <v>55</v>
      </c>
      <c r="D16" s="9" t="s">
        <v>56</v>
      </c>
      <c r="E16" s="9" t="s">
        <v>57</v>
      </c>
      <c r="F16" s="9" t="s">
        <v>58</v>
      </c>
      <c r="G16" s="10"/>
      <c r="H16" s="11">
        <v>4</v>
      </c>
      <c r="I16" s="11">
        <v>0</v>
      </c>
      <c r="J16" s="12">
        <v>1.19</v>
      </c>
      <c r="K16" s="27">
        <v>4.76</v>
      </c>
    </row>
    <row r="17" spans="2:11" ht="20" customHeight="1" x14ac:dyDescent="0.15">
      <c r="B17" s="26">
        <v>14</v>
      </c>
      <c r="C17" s="8" t="s">
        <v>59</v>
      </c>
      <c r="D17" s="9" t="s">
        <v>60</v>
      </c>
      <c r="E17" s="9" t="s">
        <v>57</v>
      </c>
      <c r="F17" s="9" t="s">
        <v>61</v>
      </c>
      <c r="G17" s="10"/>
      <c r="H17" s="11">
        <v>10</v>
      </c>
      <c r="I17" s="11">
        <v>0</v>
      </c>
      <c r="J17" s="12">
        <v>0.17</v>
      </c>
      <c r="K17" s="27">
        <v>1.7</v>
      </c>
    </row>
    <row r="18" spans="2:11" ht="20" customHeight="1" x14ac:dyDescent="0.15">
      <c r="B18" s="26">
        <v>15</v>
      </c>
      <c r="C18" s="8" t="s">
        <v>62</v>
      </c>
      <c r="D18" s="9" t="s">
        <v>63</v>
      </c>
      <c r="E18" s="9" t="s">
        <v>64</v>
      </c>
      <c r="F18" s="9" t="s">
        <v>65</v>
      </c>
      <c r="G18" s="10"/>
      <c r="H18" s="11">
        <v>2</v>
      </c>
      <c r="I18" s="11">
        <v>0</v>
      </c>
      <c r="J18" s="12">
        <v>1.55</v>
      </c>
      <c r="K18" s="27">
        <v>3.1</v>
      </c>
    </row>
    <row r="19" spans="2:11" ht="20" customHeight="1" x14ac:dyDescent="0.15">
      <c r="B19" s="28">
        <v>16</v>
      </c>
      <c r="C19" s="13" t="s">
        <v>66</v>
      </c>
      <c r="D19" s="14">
        <v>22284360</v>
      </c>
      <c r="E19" s="15" t="s">
        <v>67</v>
      </c>
      <c r="F19" s="15" t="s">
        <v>68</v>
      </c>
      <c r="G19" s="16"/>
      <c r="H19" s="17">
        <v>4</v>
      </c>
      <c r="I19" s="17">
        <v>0</v>
      </c>
      <c r="J19" s="18">
        <v>1.1200000000000001</v>
      </c>
      <c r="K19" s="29">
        <v>4.4800000000000004</v>
      </c>
    </row>
    <row r="20" spans="2:11" ht="20" customHeight="1" thickBot="1" x14ac:dyDescent="0.2">
      <c r="B20" s="30"/>
      <c r="C20" s="31"/>
      <c r="D20" s="32"/>
      <c r="E20" s="32"/>
      <c r="F20" s="32"/>
      <c r="G20" s="32"/>
      <c r="H20" s="32"/>
      <c r="I20" s="33"/>
      <c r="J20" s="34" t="s">
        <v>69</v>
      </c>
      <c r="K20" s="35">
        <f>SUM(K4:K19)</f>
        <v>28.380000000000003</v>
      </c>
    </row>
  </sheetData>
  <mergeCells count="1">
    <mergeCell ref="B2:K2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DK_PRODUCTS_98172561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미스터 관리자</cp:lastModifiedBy>
  <dcterms:modified xsi:type="dcterms:W3CDTF">2026-04-01T18:39:10Z</dcterms:modified>
</cp:coreProperties>
</file>